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sallard/Desktop/ETE/Optim_JULIA/Projet/EOD-Gaz/"/>
    </mc:Choice>
  </mc:AlternateContent>
  <xr:revisionPtr revIDLastSave="0" documentId="13_ncr:1_{CF7C769E-2223-CD4D-A9B3-50A5BCDB4FD5}" xr6:coauthVersionLast="47" xr6:coauthVersionMax="47" xr10:uidLastSave="{00000000-0000-0000-0000-000000000000}"/>
  <bookViews>
    <workbookView xWindow="3880" yWindow="2640" windowWidth="26440" windowHeight="14880" xr2:uid="{EAC5DB97-9E6B-3142-9580-796EC73B4E6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<sst xmlns="http://schemas.openxmlformats.org/spreadsheetml/2006/main" count="34" uniqueCount="30">
  <si>
    <t>Scénario</t>
  </si>
  <si>
    <t>Spécificité</t>
  </si>
  <si>
    <t>premier jet</t>
  </si>
  <si>
    <t>-</t>
  </si>
  <si>
    <t>AG=3</t>
  </si>
  <si>
    <t>AG=4</t>
  </si>
  <si>
    <t>AG=5</t>
  </si>
  <si>
    <t>AG=6</t>
  </si>
  <si>
    <t>AG=7</t>
  </si>
  <si>
    <t>Durée d'exécution (min)</t>
  </si>
  <si>
    <t>AG=3, pénalité écart à la moyenne stock CH4 = 100€/MWh</t>
  </si>
  <si>
    <t>AG=3, 1 point cible/semaine stock CH4</t>
  </si>
  <si>
    <t>AG=3, 2 points cible/semaine stock CH4</t>
  </si>
  <si>
    <t>AG=3, pénalité écart à la moyenne stock CH4 = 10€/MWh</t>
  </si>
  <si>
    <t>AG=3, pénalité écart à la moyenne stock CH4 = 1€/MWh</t>
  </si>
  <si>
    <t>AG=3, pénalité écart à la moyenne stock CH4 = 0,5€/MWh</t>
  </si>
  <si>
    <t>AG=3, pénalité écart à la moyenne stock CH4 = 0,8€/MWh</t>
  </si>
  <si>
    <t>AG=0</t>
  </si>
  <si>
    <t>AG=3, pénalité écart à la moyenne stock CH4 = 0,6€/MWh</t>
  </si>
  <si>
    <t>AG=3, pénalité écart à la moyenne stock CH4 = 0,7€/MWh</t>
  </si>
  <si>
    <t>AG=3, 1 point cible/mois stock CH4</t>
  </si>
  <si>
    <t>AG=3, 1 point cible/quarter stock CH4</t>
  </si>
  <si>
    <t>AG=3, diminution import de gaz de 10%</t>
  </si>
  <si>
    <t>AG=3, diminution import de gaz de 20%</t>
  </si>
  <si>
    <t>AG=3, diminution import de gaz de 30%</t>
  </si>
  <si>
    <t>AG=3, diminution import de gaz de 40%</t>
  </si>
  <si>
    <t>AG=3, diminution import de gaz de 50%</t>
  </si>
  <si>
    <t>hausse des prix ? --&gt; pas implémenté pour le moment</t>
  </si>
  <si>
    <t>AG=3, coûts variables gaz import</t>
  </si>
  <si>
    <t>avec  la modélisation de base du stock CH4 (sans point cible ou pénalité d'écart à la moyenne)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</si>
</sst>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Durée d'exécution</a:t>
            </a:r>
            <a:r>
              <a:rPr lang="fr-FR" baseline="0"/>
              <a:t> (min) en fonction de la longueur de l'anneau de garde (jours)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Feuil1!$B$3:$B$7</c:f>
              <c:strCache>
                <c:ptCount val="5"/>
                <c:pt idx="0">
                  <c:v>AG=3</c:v>
                </c:pt>
                <c:pt idx="1">
                  <c:v>AG=4</c:v>
                </c:pt>
                <c:pt idx="2">
                  <c:v>AG=5</c:v>
                </c:pt>
                <c:pt idx="3">
                  <c:v>AG=6</c:v>
                </c:pt>
                <c:pt idx="4">
                  <c:v>AG=7</c:v>
                </c:pt>
              </c:strCache>
            </c:strRef>
          </c:cat>
          <c:val>
            <c:numRef>
              <c:f>Feuil1!$C$3:$C$7</c:f>
              <c:numCache>
                <c:formatCode>General</c:formatCode>
                <c:ptCount val="5"/>
                <c:pt idx="0">
                  <c:v>16.22</c:v>
                </c:pt>
                <c:pt idx="1">
                  <c:v>27.6</c:v>
                </c:pt>
                <c:pt idx="2">
                  <c:v>31.33</c:v>
                </c:pt>
                <c:pt idx="3">
                  <c:v>33.75</c:v>
                </c:pt>
                <c:pt idx="4">
                  <c:v>34.81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9-6340-A980-5FE9FE3B5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793008"/>
        <c:axId val="428392304"/>
      </c:lineChart>
      <c:catAx>
        <c:axId val="42879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8392304"/>
        <c:crosses val="autoZero"/>
        <c:auto val="1"/>
        <c:lblAlgn val="ctr"/>
        <c:lblOffset val="100"/>
        <c:noMultiLvlLbl val="0"/>
      </c:catAx>
      <c:valAx>
        <c:axId val="4283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879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489857</xdr:colOff>
      <xdr:row>2</xdr:row>
      <xdr:rowOff>84365</xdr:rowOff>
    </xdr:from>
    <xdr:to>
      <xdr:col>9</xdr:col>
      <xdr:colOff>108857</xdr:colOff>
      <xdr:row>16</xdr:row>
      <xdr:rowOff>33565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DECAA65-5FA7-CAC9-AAC9-14A8C497D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27FC-8B84-324B-A620-74B7E6A8365F}">
  <dimension ref="A1:E25"/>
  <sheetViews>
    <sheetView tabSelected="1" topLeftCell="A2" zoomScale="140" zoomScaleNormal="140" workbookViewId="0">
      <selection activeCell="A9" sqref="A9"/>
    </sheetView>
  </sheetViews>
  <sheetFormatPr baseColWidth="10" defaultRowHeight="16" x14ac:dyDescent="0.2"/>
  <cols>
    <col min="2" max="2" width="48.83203125" customWidth="1"/>
  </cols>
  <sheetData>
    <row r="1" spans="1:3" x14ac:dyDescent="0.2">
      <c r="A1" t="s">
        <v>0</v>
      </c>
      <c r="B1" t="s">
        <v>1</v>
      </c>
      <c r="C1" t="s">
        <v>9</v>
      </c>
    </row>
    <row r="2" spans="1:3" x14ac:dyDescent="0.2">
      <c r="A2">
        <v>0</v>
      </c>
      <c r="B2" t="s">
        <v>2</v>
      </c>
      <c r="C2" t="s">
        <v>3</v>
      </c>
    </row>
    <row r="3" spans="1:3" x14ac:dyDescent="0.2">
      <c r="A3">
        <f>A2+1</f>
        <v>1</v>
      </c>
      <c r="B3" t="s">
        <v>4</v>
      </c>
      <c r="C3">
        <v>16.22</v>
      </c>
    </row>
    <row r="4" spans="1:3" x14ac:dyDescent="0.2">
      <c r="A4">
        <f t="shared" ref="A4:A25" si="0">A3+1</f>
        <v>2</v>
      </c>
      <c r="B4" t="s">
        <v>5</v>
      </c>
      <c r="C4">
        <v>27.6</v>
      </c>
    </row>
    <row r="5" spans="1:3" x14ac:dyDescent="0.2">
      <c r="A5">
        <f t="shared" si="0"/>
        <v>3</v>
      </c>
      <c r="B5" t="s">
        <v>6</v>
      </c>
      <c r="C5">
        <v>31.33</v>
      </c>
    </row>
    <row r="6" spans="1:3" x14ac:dyDescent="0.2">
      <c r="A6">
        <f t="shared" si="0"/>
        <v>4</v>
      </c>
      <c r="B6" t="s">
        <v>7</v>
      </c>
      <c r="C6">
        <v>33.75</v>
      </c>
    </row>
    <row r="7" spans="1:3" x14ac:dyDescent="0.2">
      <c r="A7">
        <f t="shared" si="0"/>
        <v>5</v>
      </c>
      <c r="B7" t="s">
        <v>8</v>
      </c>
      <c r="C7">
        <v>34.81</v>
      </c>
    </row>
    <row r="8" spans="1:3" x14ac:dyDescent="0.2">
      <c r="A8">
        <f t="shared" si="0"/>
        <v>6</v>
      </c>
      <c r="B8" t="s">
        <v>28</v>
      </c>
      <c r="C8">
        <v>36.4</v>
      </c>
    </row>
    <row r="9" spans="1:3" x14ac:dyDescent="0.2">
      <c r="A9">
        <f t="shared" si="0"/>
        <v>7</v>
      </c>
      <c r="B9" t="s">
        <v>10</v>
      </c>
      <c r="C9">
        <v>31.65</v>
      </c>
    </row>
    <row r="10" spans="1:3" x14ac:dyDescent="0.2">
      <c r="A10">
        <f t="shared" si="0"/>
        <v>8</v>
      </c>
      <c r="B10" t="s">
        <v>11</v>
      </c>
      <c r="C10">
        <v>33.35</v>
      </c>
    </row>
    <row r="11" spans="1:3" x14ac:dyDescent="0.2">
      <c r="A11">
        <f t="shared" si="0"/>
        <v>9</v>
      </c>
      <c r="B11" t="s">
        <v>12</v>
      </c>
      <c r="C11">
        <v>29.37</v>
      </c>
    </row>
    <row r="12" spans="1:3" x14ac:dyDescent="0.2">
      <c r="A12">
        <f t="shared" si="0"/>
        <v>10</v>
      </c>
      <c r="B12" t="s">
        <v>13</v>
      </c>
      <c r="C12" t="s">
        <v>3</v>
      </c>
    </row>
    <row r="13" spans="1:3" x14ac:dyDescent="0.2">
      <c r="A13">
        <f t="shared" si="0"/>
        <v>11</v>
      </c>
      <c r="B13" t="s">
        <v>14</v>
      </c>
      <c r="C13" t="s">
        <v>3</v>
      </c>
    </row>
    <row r="14" spans="1:3" x14ac:dyDescent="0.2">
      <c r="A14">
        <f t="shared" si="0"/>
        <v>12</v>
      </c>
      <c r="B14" t="s">
        <v>15</v>
      </c>
      <c r="C14" t="s">
        <v>3</v>
      </c>
    </row>
    <row r="15" spans="1:3" x14ac:dyDescent="0.2">
      <c r="A15">
        <f t="shared" si="0"/>
        <v>13</v>
      </c>
      <c r="B15" t="s">
        <v>16</v>
      </c>
      <c r="C15">
        <v>33.880000000000003</v>
      </c>
    </row>
    <row r="16" spans="1:3" x14ac:dyDescent="0.2">
      <c r="A16">
        <f t="shared" si="0"/>
        <v>14</v>
      </c>
      <c r="B16" t="s">
        <v>17</v>
      </c>
      <c r="C16">
        <v>29.21</v>
      </c>
    </row>
    <row r="17" spans="1:5" x14ac:dyDescent="0.2">
      <c r="A17">
        <f t="shared" si="0"/>
        <v>15</v>
      </c>
      <c r="B17" t="s">
        <v>18</v>
      </c>
      <c r="C17">
        <v>24.73</v>
      </c>
    </row>
    <row r="18" spans="1:5" x14ac:dyDescent="0.2">
      <c r="A18">
        <f t="shared" si="0"/>
        <v>16</v>
      </c>
      <c r="B18" t="s">
        <v>19</v>
      </c>
      <c r="C18" t="s">
        <v>3</v>
      </c>
    </row>
    <row r="19" spans="1:5" x14ac:dyDescent="0.2">
      <c r="A19">
        <f t="shared" si="0"/>
        <v>17</v>
      </c>
      <c r="B19" t="s">
        <v>20</v>
      </c>
      <c r="C19" s="2" t="b">
        <v>1</v>
      </c>
    </row>
    <row r="20" spans="1:5" x14ac:dyDescent="0.2">
      <c r="A20">
        <f t="shared" si="0"/>
        <v>18</v>
      </c>
      <c r="B20" t="s">
        <v>21</v>
      </c>
      <c r="C20" s="2" t="b">
        <v>1</v>
      </c>
    </row>
    <row r="21" spans="1:5" x14ac:dyDescent="0.2">
      <c r="A21">
        <f t="shared" si="0"/>
        <v>19</v>
      </c>
      <c r="B21" t="s">
        <v>22</v>
      </c>
      <c r="C21" s="2" t="b">
        <v>1</v>
      </c>
      <c r="D21" s="3" t="s">
        <v>27</v>
      </c>
      <c r="E21" s="4" t="s">
        <v>29</v>
      </c>
    </row>
    <row r="22" spans="1:5" x14ac:dyDescent="0.2">
      <c r="A22">
        <f t="shared" si="0"/>
        <v>20</v>
      </c>
      <c r="B22" t="s">
        <v>23</v>
      </c>
      <c r="C22" s="2" t="b">
        <v>1</v>
      </c>
      <c r="D22" s="3"/>
      <c r="E22" s="4"/>
    </row>
    <row r="23" spans="1:5" x14ac:dyDescent="0.2">
      <c r="A23">
        <f t="shared" si="0"/>
        <v>21</v>
      </c>
      <c r="B23" s="1" t="s">
        <v>24</v>
      </c>
      <c r="C23" s="2" t="b">
        <v>1</v>
      </c>
      <c r="D23" s="3"/>
      <c r="E23" s="4"/>
    </row>
    <row r="24" spans="1:5" x14ac:dyDescent="0.2">
      <c r="A24">
        <f t="shared" si="0"/>
        <v>22</v>
      </c>
      <c r="B24" s="1" t="s">
        <v>25</v>
      </c>
      <c r="C24" s="2" t="b">
        <v>1</v>
      </c>
      <c r="D24" s="3"/>
      <c r="E24" s="4"/>
    </row>
    <row r="25" spans="1:5" x14ac:dyDescent="0.2">
      <c r="A25">
        <f t="shared" si="0"/>
        <v>23</v>
      </c>
      <c r="B25" s="1" t="s">
        <v>26</v>
      </c>
      <c r="C25" s="2" t="b">
        <v>1</v>
      </c>
      <c r="D25" s="3"/>
      <c r="E25" s="4"/>
    </row>
  </sheetData>
  <mergeCells count="2">
    <mergeCell ref="D21:D25"/>
    <mergeCell ref="E21:E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SALLARD</dc:creator>
  <cp:lastModifiedBy>Louis SALLARD</cp:lastModifiedBy>
  <dcterms:created xsi:type="dcterms:W3CDTF">2026-02-24T09:16:32Z</dcterms:created>
  <dcterms:modified xsi:type="dcterms:W3CDTF">2026-03-03T08:03:53Z</dcterms:modified>
</cp:coreProperties>
</file>